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cisl\Dropbox\04- FORMACIÓN\IA INTELIGENCIA ARTIFICIAL\EJERCICIOS\APPS\"/>
    </mc:Choice>
  </mc:AlternateContent>
  <xr:revisionPtr revIDLastSave="0" documentId="13_ncr:1_{91E756AF-6D27-436C-AF3A-7D98BBC321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1" l="1"/>
  <c r="M14" i="1"/>
  <c r="L15" i="1"/>
  <c r="L14" i="1"/>
  <c r="K14" i="1"/>
  <c r="K22" i="1" s="1"/>
  <c r="K15" i="1"/>
  <c r="J15" i="1"/>
  <c r="J22" i="1" s="1"/>
  <c r="J14" i="1"/>
  <c r="O8" i="1"/>
  <c r="P8" i="1"/>
  <c r="H14" i="1"/>
  <c r="R8" i="1"/>
  <c r="R9" i="1"/>
  <c r="Q9" i="1"/>
  <c r="P9" i="1"/>
  <c r="O9" i="1"/>
  <c r="M22" i="1"/>
  <c r="H15" i="1"/>
  <c r="I15" i="1"/>
  <c r="I14" i="1"/>
  <c r="I22" i="1" s="1"/>
  <c r="H22" i="1"/>
  <c r="C22" i="1"/>
  <c r="B22" i="1"/>
  <c r="G21" i="1"/>
  <c r="Q8" i="1" l="1"/>
  <c r="L22" i="1"/>
</calcChain>
</file>

<file path=xl/sharedStrings.xml><?xml version="1.0" encoding="utf-8"?>
<sst xmlns="http://schemas.openxmlformats.org/spreadsheetml/2006/main" count="34" uniqueCount="22">
  <si>
    <t>AAA</t>
  </si>
  <si>
    <t>LINE_A</t>
  </si>
  <si>
    <t>PT0163</t>
  </si>
  <si>
    <t>LINE_B</t>
  </si>
  <si>
    <t>PREM</t>
  </si>
  <si>
    <t>ML</t>
  </si>
  <si>
    <t>PTBI</t>
  </si>
  <si>
    <t>PTBA</t>
  </si>
  <si>
    <t>TBQ</t>
  </si>
  <si>
    <t>PACK</t>
  </si>
  <si>
    <t>AAAA</t>
  </si>
  <si>
    <t>Demanda uds/sem</t>
  </si>
  <si>
    <t>Capacidad uds/sem</t>
  </si>
  <si>
    <t>TOTAL</t>
  </si>
  <si>
    <t>Process</t>
  </si>
  <si>
    <t>Model</t>
  </si>
  <si>
    <t>Capacidad hrs/sem</t>
  </si>
  <si>
    <t>Demanda hrs/sem</t>
  </si>
  <si>
    <t>Demanda hrs/año</t>
  </si>
  <si>
    <t>Capacidad hrs/año</t>
  </si>
  <si>
    <t>Demanda uds/año</t>
  </si>
  <si>
    <t>Capacidad uds/año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</si>
</sst>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.0"/>
    <numFmt numFmtId="173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 wrapText="1"/>
    </xf>
    <xf numFmtId="168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173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2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vertical="center"/>
    </xf>
    <xf numFmtId="173" fontId="0" fillId="0" borderId="0" xfId="0" applyNumberForma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3" borderId="0" xfId="0" applyFill="1" applyAlignment="1">
      <alignment vertical="center" wrapText="1"/>
    </xf>
    <xf numFmtId="173" fontId="0" fillId="3" borderId="1" xfId="0" applyNumberFormat="1" applyFill="1" applyBorder="1" applyAlignment="1">
      <alignment vertical="center" wrapText="1"/>
    </xf>
    <xf numFmtId="173" fontId="0" fillId="3" borderId="0" xfId="0" applyNumberFormat="1" applyFill="1" applyAlignment="1">
      <alignment vertical="center" wrapText="1"/>
    </xf>
    <xf numFmtId="0" fontId="0" fillId="3" borderId="1" xfId="0" applyFill="1" applyBorder="1" applyAlignment="1">
      <alignment vertical="center"/>
    </xf>
    <xf numFmtId="3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479299</xdr:colOff>
      <xdr:row>0</xdr:row>
      <xdr:rowOff>175185</xdr:rowOff>
    </xdr:from>
    <xdr:to>
      <xdr:col>3</xdr:col>
      <xdr:colOff>357841</xdr:colOff>
      <xdr:row>9</xdr:row>
      <xdr:rowOff>45996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964E60C-7BEA-49A9-BA4B-19A797C1D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9299" y="175185"/>
          <a:ext cx="2067424" cy="1925223"/>
        </a:xfrm>
        <a:prstGeom prst="rect">
          <a:avLst/>
        </a:prstGeom>
      </xdr:spPr>
    </xdr:pic>
    <xdr:clientData/>
  </xdr:twoCellAnchor>
  <xdr:twoCellAnchor>
    <xdr:from>
      <xdr:col>13</xdr:col>
      <xdr:colOff>14941</xdr:colOff>
      <xdr:row>8</xdr:row>
      <xdr:rowOff>82177</xdr:rowOff>
    </xdr:from>
    <xdr:to>
      <xdr:col>14</xdr:col>
      <xdr:colOff>283882</xdr:colOff>
      <xdr:row>8</xdr:row>
      <xdr:rowOff>82177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60B1CBAF-5877-E023-83FA-0AAE0EE42309}"/>
            </a:ext>
          </a:extLst>
        </xdr:cNvPr>
        <xdr:cNvCxnSpPr/>
      </xdr:nvCxnSpPr>
      <xdr:spPr>
        <a:xfrm flipH="1">
          <a:off x="5565588" y="2906059"/>
          <a:ext cx="119529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R22"/>
  <sheetViews>
    <sheetView tabSelected="1" topLeftCell="A2" zoomScale="85" zoomScaleNormal="85" workbookViewId="0">
      <selection activeCell="L7" sqref="L7"/>
    </sheetView>
  </sheetViews>
  <sheetFormatPr baseColWidth="10" defaultColWidth="8.7265625" defaultRowHeight="14.5" x14ac:dyDescent="0.35"/>
  <cols>
    <col min="1" max="1" width="8.7265625" style="3"/>
    <col min="2" max="2" width="9.7265625" style="3" customWidth="1"/>
    <col min="3" max="3" width="12.81640625" style="3" customWidth="1"/>
    <col min="4" max="4" width="8.54296875" style="3" customWidth="1"/>
    <col min="5" max="7" width="8.7265625" style="3"/>
    <col min="8" max="13" width="13.26953125" style="3" customWidth="1"/>
    <col min="14" max="15" width="8.7265625" style="3"/>
    <col min="16" max="18" width="9.54296875" style="3" bestFit="1" customWidth="1"/>
    <col min="19" max="16384" width="8.7265625" style="3"/>
  </cols>
  <sheetData>
    <row r="7" spans="1:18" ht="43.5" x14ac:dyDescent="0.35">
      <c r="O7" s="6" t="s">
        <v>17</v>
      </c>
      <c r="P7" s="6" t="s">
        <v>16</v>
      </c>
      <c r="Q7" s="6" t="s">
        <v>18</v>
      </c>
      <c r="R7" s="6" t="s">
        <v>19</v>
      </c>
    </row>
    <row r="8" spans="1:18" x14ac:dyDescent="0.35">
      <c r="O8" s="18">
        <f>H14*G14</f>
        <v>12000</v>
      </c>
      <c r="P8" s="18">
        <f>I14*G14</f>
        <v>21499.999999999978</v>
      </c>
      <c r="Q8" s="18">
        <f>O8*$E$10</f>
        <v>600000</v>
      </c>
      <c r="R8" s="18">
        <f>P8*$E$10</f>
        <v>1074999.9999999988</v>
      </c>
    </row>
    <row r="9" spans="1:18" ht="15" thickBot="1" x14ac:dyDescent="0.4">
      <c r="O9" s="18">
        <f>H15*G21</f>
        <v>25635</v>
      </c>
      <c r="P9" s="18">
        <f>I15*G21</f>
        <v>73487</v>
      </c>
      <c r="Q9" s="18">
        <f>O9*$E$10</f>
        <v>1281750</v>
      </c>
      <c r="R9" s="18">
        <f>P9*$E$10</f>
        <v>3674350</v>
      </c>
    </row>
    <row r="10" spans="1:18" ht="15" thickBot="1" x14ac:dyDescent="0.4">
      <c r="E10" s="4">
        <v>50</v>
      </c>
    </row>
    <row r="13" spans="1:18" s="5" customFormat="1" ht="29.5" thickBot="1" x14ac:dyDescent="0.4">
      <c r="A13" s="12" t="s">
        <v>15</v>
      </c>
      <c r="B13" s="6" t="s">
        <v>11</v>
      </c>
      <c r="C13" s="6" t="s">
        <v>12</v>
      </c>
      <c r="D13" s="6"/>
      <c r="E13" s="12" t="s">
        <v>15</v>
      </c>
      <c r="F13" s="12" t="s">
        <v>14</v>
      </c>
      <c r="G13" s="12"/>
      <c r="H13" s="6" t="s">
        <v>20</v>
      </c>
      <c r="I13" s="6" t="s">
        <v>21</v>
      </c>
      <c r="J13" s="6" t="s">
        <v>17</v>
      </c>
      <c r="K13" s="6" t="s">
        <v>16</v>
      </c>
      <c r="L13" s="6" t="s">
        <v>18</v>
      </c>
      <c r="M13" s="6" t="s">
        <v>19</v>
      </c>
    </row>
    <row r="14" spans="1:18" ht="15" thickBot="1" x14ac:dyDescent="0.4">
      <c r="A14" s="1" t="s">
        <v>0</v>
      </c>
      <c r="B14" s="11">
        <v>4</v>
      </c>
      <c r="C14" s="2">
        <v>7.1666666666666599</v>
      </c>
      <c r="D14" s="1" t="s">
        <v>1</v>
      </c>
      <c r="E14" s="13" t="s">
        <v>10</v>
      </c>
      <c r="F14" s="14" t="s">
        <v>5</v>
      </c>
      <c r="G14" s="15">
        <v>60</v>
      </c>
      <c r="H14" s="7">
        <f>B14*$E$10</f>
        <v>200</v>
      </c>
      <c r="I14" s="7">
        <f>C14*$E$10</f>
        <v>358.33333333333297</v>
      </c>
      <c r="J14" s="3">
        <f>G14*B14</f>
        <v>240</v>
      </c>
      <c r="K14" s="3">
        <f>G14*C14</f>
        <v>429.9999999999996</v>
      </c>
      <c r="L14" s="3">
        <f>J14*$E$10</f>
        <v>12000</v>
      </c>
      <c r="M14" s="3">
        <f>K14*$E$10</f>
        <v>21499.999999999982</v>
      </c>
    </row>
    <row r="15" spans="1:18" x14ac:dyDescent="0.35">
      <c r="A15" s="1" t="s">
        <v>2</v>
      </c>
      <c r="B15" s="11">
        <v>3</v>
      </c>
      <c r="C15" s="1">
        <v>8.6</v>
      </c>
      <c r="D15" s="1" t="s">
        <v>3</v>
      </c>
      <c r="E15" s="14" t="s">
        <v>2</v>
      </c>
      <c r="F15" s="14" t="s">
        <v>4</v>
      </c>
      <c r="G15" s="16">
        <v>46</v>
      </c>
      <c r="H15" s="7">
        <f>B15*$E$10</f>
        <v>150</v>
      </c>
      <c r="I15" s="7">
        <f>C15*$E$10</f>
        <v>430</v>
      </c>
      <c r="J15" s="3">
        <f>G21*B15</f>
        <v>512.70000000000005</v>
      </c>
      <c r="K15" s="7">
        <f>G21*C15</f>
        <v>1469.74</v>
      </c>
      <c r="L15" s="3">
        <f>J15*$E$10</f>
        <v>25635.000000000004</v>
      </c>
      <c r="M15" s="3">
        <f>K15*$E$10</f>
        <v>73487</v>
      </c>
    </row>
    <row r="16" spans="1:18" x14ac:dyDescent="0.35">
      <c r="E16" s="14" t="s">
        <v>2</v>
      </c>
      <c r="F16" s="14" t="s">
        <v>5</v>
      </c>
      <c r="G16" s="16">
        <v>48</v>
      </c>
    </row>
    <row r="17" spans="1:13" x14ac:dyDescent="0.35">
      <c r="E17" s="14" t="s">
        <v>2</v>
      </c>
      <c r="F17" s="14" t="s">
        <v>6</v>
      </c>
      <c r="G17" s="16">
        <v>6.9</v>
      </c>
    </row>
    <row r="18" spans="1:13" x14ac:dyDescent="0.35">
      <c r="E18" s="14" t="s">
        <v>2</v>
      </c>
      <c r="F18" s="14" t="s">
        <v>7</v>
      </c>
      <c r="G18" s="16">
        <v>5</v>
      </c>
    </row>
    <row r="19" spans="1:13" x14ac:dyDescent="0.35">
      <c r="E19" s="14" t="s">
        <v>2</v>
      </c>
      <c r="F19" s="14" t="s">
        <v>8</v>
      </c>
      <c r="G19" s="16">
        <v>5</v>
      </c>
    </row>
    <row r="20" spans="1:13" ht="15" thickBot="1" x14ac:dyDescent="0.4">
      <c r="E20" s="14" t="s">
        <v>2</v>
      </c>
      <c r="F20" s="14" t="s">
        <v>9</v>
      </c>
      <c r="G20" s="16">
        <v>60</v>
      </c>
    </row>
    <row r="21" spans="1:13" ht="15" thickBot="1" x14ac:dyDescent="0.4">
      <c r="E21" s="13"/>
      <c r="F21" s="13"/>
      <c r="G21" s="17">
        <f>SUM(G15:G20)</f>
        <v>170.9</v>
      </c>
    </row>
    <row r="22" spans="1:13" s="8" customFormat="1" ht="18.5" x14ac:dyDescent="0.35">
      <c r="A22" s="8" t="s">
        <v>13</v>
      </c>
      <c r="B22" s="9">
        <f>SUM(B14:B21)</f>
        <v>7</v>
      </c>
      <c r="C22" s="9">
        <f>SUM(C14:C21)</f>
        <v>15.766666666666659</v>
      </c>
      <c r="H22" s="9">
        <f>SUM(H14:H21)</f>
        <v>350</v>
      </c>
      <c r="I22" s="9">
        <f>SUM(I14:I21)</f>
        <v>788.33333333333303</v>
      </c>
      <c r="J22" s="10">
        <f t="shared" ref="J22:K22" si="0">SUM(J14:J21)</f>
        <v>752.7</v>
      </c>
      <c r="K22" s="10">
        <f t="shared" si="0"/>
        <v>1899.7399999999996</v>
      </c>
      <c r="L22" s="10">
        <f t="shared" ref="L22" si="1">SUM(L14:L21)</f>
        <v>37635</v>
      </c>
      <c r="M22" s="10">
        <f t="shared" ref="M22" si="2">SUM(M14:M21)</f>
        <v>94986.999999999985</v>
      </c>
    </row>
  </sheetData>
  <pageMargins left="0.7" right="0.7" top="0.75" bottom="0.75" header="0.3" footer="0.3"/>
  <ignoredErrors>
    <ignoredError sqref="G21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Isla Jiménez</dc:creator>
  <cp:lastModifiedBy>Juan Carlos Isla Jiménez</cp:lastModifiedBy>
  <dcterms:created xsi:type="dcterms:W3CDTF">2015-06-05T18:17:20Z</dcterms:created>
  <dcterms:modified xsi:type="dcterms:W3CDTF">2026-02-14T11:49:36Z</dcterms:modified>
</cp:coreProperties>
</file>